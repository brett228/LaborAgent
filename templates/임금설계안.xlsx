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 화안 노동법률사무소\AI Agent Project\"/>
    </mc:Choice>
  </mc:AlternateContent>
  <xr:revisionPtr revIDLastSave="0" documentId="13_ncr:1_{721AE62E-B320-41BB-910A-49C59C036F32}" xr6:coauthVersionLast="47" xr6:coauthVersionMax="47" xr10:uidLastSave="{00000000-0000-0000-0000-000000000000}"/>
  <bookViews>
    <workbookView xWindow="36" yWindow="0" windowWidth="22464" windowHeight="12336" activeTab="1" xr2:uid="{D8521124-83F6-4FB5-80D4-572D6BF94051}"/>
  </bookViews>
  <sheets>
    <sheet name="Sheet1" sheetId="2" r:id="rId1"/>
    <sheet name="고정O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 s="1"/>
  <c r="C8" i="1"/>
  <c r="D8" i="1" s="1"/>
  <c r="C22" i="1"/>
  <c r="D26" i="1" s="1"/>
  <c r="D13" i="1"/>
  <c r="D9" i="1"/>
  <c r="D22" i="1" l="1"/>
  <c r="E22" i="1" s="1"/>
  <c r="C26" i="1" s="1"/>
  <c r="E8" i="1"/>
  <c r="C12" i="1" s="1"/>
  <c r="C15" i="1" s="1"/>
  <c r="E9" i="1"/>
  <c r="C13" i="1" s="1"/>
  <c r="E21" i="1"/>
  <c r="C25" i="1" l="1"/>
  <c r="C28" i="1" s="1"/>
</calcChain>
</file>

<file path=xl/sharedStrings.xml><?xml version="1.0" encoding="utf-8"?>
<sst xmlns="http://schemas.openxmlformats.org/spreadsheetml/2006/main" count="46" uniqueCount="33">
  <si>
    <t>기본근로시간</t>
    <phoneticPr fontId="2" type="noConversion"/>
  </si>
  <si>
    <t>연장근로시간</t>
    <phoneticPr fontId="2" type="noConversion"/>
  </si>
  <si>
    <t>시간</t>
    <phoneticPr fontId="2" type="noConversion"/>
  </si>
  <si>
    <t>시급적용 시간</t>
    <phoneticPr fontId="2" type="noConversion"/>
  </si>
  <si>
    <t>월급액(세전)</t>
    <phoneticPr fontId="2" type="noConversion"/>
  </si>
  <si>
    <t>기본급</t>
    <phoneticPr fontId="2" type="noConversion"/>
  </si>
  <si>
    <t>고정연장근로수당</t>
    <phoneticPr fontId="2" type="noConversion"/>
  </si>
  <si>
    <t>월급 구성비율</t>
    <phoneticPr fontId="2" type="noConversion"/>
  </si>
  <si>
    <t>통상임금(시급)</t>
    <phoneticPr fontId="2" type="noConversion"/>
  </si>
  <si>
    <t>임금 구성항목</t>
    <phoneticPr fontId="2" type="noConversion"/>
  </si>
  <si>
    <t>금액</t>
    <phoneticPr fontId="2" type="noConversion"/>
  </si>
  <si>
    <t>비고</t>
    <phoneticPr fontId="2" type="noConversion"/>
  </si>
  <si>
    <t>소정근로+주휴시간(주휴수당)</t>
    <phoneticPr fontId="2" type="noConversion"/>
  </si>
  <si>
    <t>최저임금(10,030원) 이상</t>
    <phoneticPr fontId="2" type="noConversion"/>
  </si>
  <si>
    <t>1안) 월 연장근로시간 지정 시</t>
    <phoneticPr fontId="2" type="noConversion"/>
  </si>
  <si>
    <t>2안) 통상시급 최소화: 연장근로 월 허용 최대치(약 52시간) 기준</t>
    <phoneticPr fontId="2" type="noConversion"/>
  </si>
  <si>
    <t>* 노란색 셀 입력값 변경 가능</t>
    <phoneticPr fontId="2" type="noConversion"/>
  </si>
  <si>
    <t xml:space="preserve"> - 주당 소정근로시간</t>
    <phoneticPr fontId="2" type="noConversion"/>
  </si>
  <si>
    <t xml:space="preserve"> - 고정연장OT 포함여부 및 시간</t>
    <phoneticPr fontId="2" type="noConversion"/>
  </si>
  <si>
    <t xml:space="preserve"> - 근로자 통상임금(시급)</t>
    <phoneticPr fontId="2" type="noConversion"/>
  </si>
  <si>
    <t xml:space="preserve"> - 월별 사회보험료(4대보험) 근로자 부담분</t>
    <phoneticPr fontId="2" type="noConversion"/>
  </si>
  <si>
    <t xml:space="preserve"> - 계약연봉</t>
    <phoneticPr fontId="2" type="noConversion"/>
  </si>
  <si>
    <t>입력</t>
    <phoneticPr fontId="2" type="noConversion"/>
  </si>
  <si>
    <t>출력</t>
    <phoneticPr fontId="2" type="noConversion"/>
  </si>
  <si>
    <t xml:space="preserve"> </t>
    <phoneticPr fontId="2" type="noConversion"/>
  </si>
  <si>
    <t xml:space="preserve"> - 계약연봉에 미포함된 고용 관련 비용(사용자 추가 부담 비용): 4대보험 사용자 부담분, 퇴직급여</t>
    <phoneticPr fontId="2" type="noConversion"/>
  </si>
  <si>
    <t>주요 기능</t>
    <phoneticPr fontId="2" type="noConversion"/>
  </si>
  <si>
    <t xml:space="preserve"> - 통상시급 계산</t>
    <phoneticPr fontId="2" type="noConversion"/>
  </si>
  <si>
    <t xml:space="preserve"> - 고용 관련 총 비용 계산</t>
    <phoneticPr fontId="2" type="noConversion"/>
  </si>
  <si>
    <t xml:space="preserve"> - 소득세법상 비과세소득 포함여부 및 항목/금액</t>
    <phoneticPr fontId="2" type="noConversion"/>
  </si>
  <si>
    <t xml:space="preserve"> - 고정연장OT 포함 임금항목 설계("고정OT" 시트 참조)</t>
    <phoneticPr fontId="2" type="noConversion"/>
  </si>
  <si>
    <t xml:space="preserve"> - 최저임금법 준수여부</t>
    <phoneticPr fontId="2" type="noConversion"/>
  </si>
  <si>
    <t>주당 근로시간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</si>
</sst>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4" fillId="0" borderId="2" xfId="0" applyFont="1" applyBorder="1">
      <alignment vertical="center"/>
    </xf>
    <xf numFmtId="0" fontId="3" fillId="0" borderId="1" xfId="0" applyFont="1" applyBorder="1">
      <alignment vertical="center"/>
    </xf>
    <xf numFmtId="2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3" fillId="0" borderId="1" xfId="0" applyNumberFormat="1" applyFont="1" applyBorder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3" fontId="3" fillId="0" borderId="0" xfId="0" applyNumberFormat="1" applyFont="1">
      <alignment vertical="center"/>
    </xf>
    <xf numFmtId="3" fontId="0" fillId="3" borderId="3" xfId="0" applyNumberFormat="1" applyFill="1" applyBorder="1">
      <alignment vertical="center"/>
    </xf>
    <xf numFmtId="2" fontId="3" fillId="3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3" fontId="3" fillId="0" borderId="10" xfId="0" applyNumberFormat="1" applyFont="1" applyBorder="1">
      <alignment vertical="center"/>
    </xf>
    <xf numFmtId="0" fontId="3" fillId="0" borderId="11" xfId="0" applyFont="1" applyBorder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19</xdr:row>
      <xdr:rowOff>0</xdr:rowOff>
    </xdr:from>
    <xdr:to>
      <xdr:col>11</xdr:col>
      <xdr:colOff>106681</xdr:colOff>
      <xdr:row>40</xdr:row>
      <xdr:rowOff>194923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A3BDBE-8EE8-2F3B-4772-DAAEFE58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4198620"/>
          <a:ext cx="6812280" cy="483550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373381</xdr:colOff>
      <xdr:row>18</xdr:row>
      <xdr:rowOff>30481</xdr:rowOff>
    </xdr:from>
    <xdr:to>
      <xdr:col>21</xdr:col>
      <xdr:colOff>404031</xdr:colOff>
      <xdr:row>37</xdr:row>
      <xdr:rowOff>97139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6189E4-6E8A-B2EF-7AE0-D95D87E8D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9541" y="4008121"/>
          <a:ext cx="6736250" cy="4265278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41</xdr:row>
      <xdr:rowOff>0</xdr:rowOff>
    </xdr:from>
    <xdr:to>
      <xdr:col>11</xdr:col>
      <xdr:colOff>76405</xdr:colOff>
      <xdr:row>60</xdr:row>
      <xdr:rowOff>150291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FDF94D-7C5D-A2DB-8AAC-23385A08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" y="9060180"/>
          <a:ext cx="6721045" cy="4348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973C-A1B6-44DF-9D95-8EFB3E2E0574}">
  <dimension ref="B2:B18"/>
  <sheetViews>
    <sheetView workbookViewId="0">
      <selection activeCell="B17" sqref="B17"/>
    </sheetView>
  </sheetViews>
  <sheetFormatPr defaultRowHeight="17.399999999999999" x14ac:dyDescent="0.4"/>
  <sheetData>
    <row r="2" spans="2:2" x14ac:dyDescent="0.4">
      <c r="B2" s="26" t="s">
        <v>26</v>
      </c>
    </row>
    <row r="3" spans="2:2" x14ac:dyDescent="0.4">
      <c r="B3" t="s">
        <v>30</v>
      </c>
    </row>
    <row r="4" spans="2:2" x14ac:dyDescent="0.4">
      <c r="B4" t="s">
        <v>27</v>
      </c>
    </row>
    <row r="5" spans="2:2" x14ac:dyDescent="0.4">
      <c r="B5" t="s">
        <v>28</v>
      </c>
    </row>
    <row r="7" spans="2:2" x14ac:dyDescent="0.4">
      <c r="B7" s="26" t="s">
        <v>22</v>
      </c>
    </row>
    <row r="8" spans="2:2" x14ac:dyDescent="0.4">
      <c r="B8" t="s">
        <v>21</v>
      </c>
    </row>
    <row r="9" spans="2:2" x14ac:dyDescent="0.4">
      <c r="B9" t="s">
        <v>17</v>
      </c>
    </row>
    <row r="10" spans="2:2" x14ac:dyDescent="0.4">
      <c r="B10" t="s">
        <v>18</v>
      </c>
    </row>
    <row r="11" spans="2:2" x14ac:dyDescent="0.4">
      <c r="B11" t="s">
        <v>29</v>
      </c>
    </row>
    <row r="13" spans="2:2" x14ac:dyDescent="0.4">
      <c r="B13" s="26" t="s">
        <v>23</v>
      </c>
    </row>
    <row r="14" spans="2:2" x14ac:dyDescent="0.4">
      <c r="B14" t="s">
        <v>31</v>
      </c>
    </row>
    <row r="15" spans="2:2" x14ac:dyDescent="0.4">
      <c r="B15" t="s">
        <v>19</v>
      </c>
    </row>
    <row r="16" spans="2:2" x14ac:dyDescent="0.4">
      <c r="B16" t="s">
        <v>20</v>
      </c>
    </row>
    <row r="17" spans="2:2" x14ac:dyDescent="0.4">
      <c r="B17" s="26" t="s">
        <v>25</v>
      </c>
    </row>
    <row r="18" spans="2:2" x14ac:dyDescent="0.4">
      <c r="B18" t="s">
        <v>24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0E8A-812C-4876-8991-1CEC0F36AF86}">
  <dimension ref="B1:E29"/>
  <sheetViews>
    <sheetView tabSelected="1" topLeftCell="A6" workbookViewId="0">
      <selection activeCell="C25" sqref="C25"/>
    </sheetView>
  </sheetViews>
  <sheetFormatPr defaultRowHeight="17.399999999999999" x14ac:dyDescent="0.4"/>
  <cols>
    <col min="1" max="1" width="4.3984375" customWidth="1"/>
    <col min="2" max="2" width="19.19921875" customWidth="1"/>
    <col min="3" max="3" width="11.69921875" customWidth="1"/>
    <col min="4" max="4" width="25.3984375" customWidth="1"/>
    <col min="5" max="5" width="14.3984375" customWidth="1"/>
  </cols>
  <sheetData>
    <row r="1" spans="2:5" ht="18" thickBot="1" x14ac:dyDescent="0.45"/>
    <row r="2" spans="2:5" ht="18" thickBot="1" x14ac:dyDescent="0.45">
      <c r="B2" s="4" t="s">
        <v>4</v>
      </c>
      <c r="C2" s="15">
        <v>3080000</v>
      </c>
      <c r="D2" s="25" t="s">
        <v>16</v>
      </c>
    </row>
    <row r="3" spans="2:5" ht="18" thickBot="1" x14ac:dyDescent="0.45">
      <c r="B3" s="4" t="s">
        <v>32</v>
      </c>
      <c r="C3" s="15">
        <v>40</v>
      </c>
    </row>
    <row r="5" spans="2:5" x14ac:dyDescent="0.4">
      <c r="B5" s="10" t="s">
        <v>14</v>
      </c>
      <c r="C5" s="11"/>
      <c r="D5" s="12"/>
      <c r="E5" s="12"/>
    </row>
    <row r="7" spans="2:5" x14ac:dyDescent="0.4">
      <c r="B7" s="8"/>
      <c r="C7" s="8" t="s">
        <v>2</v>
      </c>
      <c r="D7" s="8" t="s">
        <v>3</v>
      </c>
      <c r="E7" s="8" t="s">
        <v>7</v>
      </c>
    </row>
    <row r="8" spans="2:5" x14ac:dyDescent="0.4">
      <c r="B8" s="8" t="s">
        <v>0</v>
      </c>
      <c r="C8" s="6">
        <f>($C$3+$C$3/5)*(365/12/7)</f>
        <v>208.57142857142861</v>
      </c>
      <c r="D8" s="7">
        <f>C8*1</f>
        <v>208.57142857142861</v>
      </c>
      <c r="E8" s="6">
        <f>D8/SUM($D$8:$D$9)</f>
        <v>0.87425149700598803</v>
      </c>
    </row>
    <row r="9" spans="2:5" x14ac:dyDescent="0.4">
      <c r="B9" s="8" t="s">
        <v>1</v>
      </c>
      <c r="C9" s="16">
        <v>20</v>
      </c>
      <c r="D9" s="7">
        <f>C9*1.5</f>
        <v>30</v>
      </c>
      <c r="E9" s="6">
        <f>D9/SUM($D$8:$D$9)</f>
        <v>0.12574850299401197</v>
      </c>
    </row>
    <row r="10" spans="2:5" ht="18" thickBot="1" x14ac:dyDescent="0.45">
      <c r="B10" s="2"/>
      <c r="C10" s="2"/>
      <c r="D10" s="2"/>
      <c r="E10" s="2"/>
    </row>
    <row r="11" spans="2:5" x14ac:dyDescent="0.4">
      <c r="B11" s="17" t="s">
        <v>9</v>
      </c>
      <c r="C11" s="18" t="s">
        <v>10</v>
      </c>
      <c r="D11" s="19" t="s">
        <v>11</v>
      </c>
      <c r="E11" s="2"/>
    </row>
    <row r="12" spans="2:5" x14ac:dyDescent="0.4">
      <c r="B12" s="20" t="s">
        <v>5</v>
      </c>
      <c r="C12" s="9">
        <f>$C$2*E8</f>
        <v>2692694.610778443</v>
      </c>
      <c r="D12" s="21" t="s">
        <v>12</v>
      </c>
    </row>
    <row r="13" spans="2:5" ht="18" thickBot="1" x14ac:dyDescent="0.45">
      <c r="B13" s="22" t="s">
        <v>6</v>
      </c>
      <c r="C13" s="23">
        <f>$C$2*E9</f>
        <v>387305.38922155683</v>
      </c>
      <c r="D13" s="24" t="str">
        <f>"월 "&amp;C9&amp;"시간"</f>
        <v>월 20시간</v>
      </c>
    </row>
    <row r="14" spans="2:5" x14ac:dyDescent="0.4">
      <c r="B14" s="2"/>
      <c r="C14" s="2"/>
      <c r="D14" s="2"/>
      <c r="E14" s="2"/>
    </row>
    <row r="15" spans="2:5" x14ac:dyDescent="0.4">
      <c r="B15" s="8" t="s">
        <v>8</v>
      </c>
      <c r="C15" s="9">
        <f>C12/C8</f>
        <v>12910.179640718559</v>
      </c>
      <c r="D15" s="5" t="s">
        <v>13</v>
      </c>
      <c r="E15" s="2"/>
    </row>
    <row r="16" spans="2:5" x14ac:dyDescent="0.4">
      <c r="B16" s="13"/>
      <c r="C16" s="14"/>
      <c r="D16" s="2"/>
      <c r="E16" s="2"/>
    </row>
    <row r="18" spans="2:5" x14ac:dyDescent="0.4">
      <c r="B18" s="10" t="s">
        <v>15</v>
      </c>
      <c r="C18" s="11"/>
      <c r="D18" s="12"/>
      <c r="E18" s="12"/>
    </row>
    <row r="19" spans="2:5" x14ac:dyDescent="0.4">
      <c r="B19" s="1"/>
      <c r="C19" s="1"/>
      <c r="D19" s="2"/>
      <c r="E19" s="2"/>
    </row>
    <row r="20" spans="2:5" x14ac:dyDescent="0.4">
      <c r="B20" s="8"/>
      <c r="C20" s="8" t="s">
        <v>2</v>
      </c>
      <c r="D20" s="8" t="s">
        <v>3</v>
      </c>
      <c r="E20" s="8" t="s">
        <v>7</v>
      </c>
    </row>
    <row r="21" spans="2:5" x14ac:dyDescent="0.4">
      <c r="B21" s="8" t="s">
        <v>0</v>
      </c>
      <c r="C21" s="6">
        <f>($C$3+$C$3/5)*(365/12/7)</f>
        <v>208.57142857142861</v>
      </c>
      <c r="D21" s="7">
        <f>C21*1</f>
        <v>208.57142857142861</v>
      </c>
      <c r="E21" s="6">
        <f>D21/SUM($D$21:$D$22)</f>
        <v>0.72728359576979984</v>
      </c>
    </row>
    <row r="22" spans="2:5" x14ac:dyDescent="0.4">
      <c r="B22" s="8" t="s">
        <v>1</v>
      </c>
      <c r="C22" s="6">
        <f>ROUND(12*(365/12/7), 2)</f>
        <v>52.14</v>
      </c>
      <c r="D22" s="7">
        <f>C22*1.5</f>
        <v>78.210000000000008</v>
      </c>
      <c r="E22" s="6">
        <f>D22/SUM($D$21:$D$22)</f>
        <v>0.27271640423020022</v>
      </c>
    </row>
    <row r="23" spans="2:5" ht="18" thickBot="1" x14ac:dyDescent="0.45">
      <c r="B23" s="2"/>
      <c r="C23" s="2"/>
      <c r="D23" s="2"/>
      <c r="E23" s="2"/>
    </row>
    <row r="24" spans="2:5" x14ac:dyDescent="0.4">
      <c r="B24" s="17" t="s">
        <v>9</v>
      </c>
      <c r="C24" s="18" t="s">
        <v>10</v>
      </c>
      <c r="D24" s="19" t="s">
        <v>11</v>
      </c>
      <c r="E24" s="2"/>
    </row>
    <row r="25" spans="2:5" x14ac:dyDescent="0.4">
      <c r="B25" s="20" t="s">
        <v>5</v>
      </c>
      <c r="C25" s="9">
        <f>$C$2*E21</f>
        <v>2240033.4749709833</v>
      </c>
      <c r="D25" s="21" t="s">
        <v>12</v>
      </c>
      <c r="E25" s="2"/>
    </row>
    <row r="26" spans="2:5" ht="18" thickBot="1" x14ac:dyDescent="0.45">
      <c r="B26" s="22" t="s">
        <v>6</v>
      </c>
      <c r="C26" s="23">
        <f>$C$2*E22</f>
        <v>839966.52502901666</v>
      </c>
      <c r="D26" s="24" t="str">
        <f>"월 "&amp;C22&amp;"시간"</f>
        <v>월 52.14시간</v>
      </c>
      <c r="E26" s="2"/>
    </row>
    <row r="27" spans="2:5" x14ac:dyDescent="0.4">
      <c r="B27" s="2"/>
      <c r="C27" s="2"/>
      <c r="D27" s="2"/>
      <c r="E27" s="2"/>
    </row>
    <row r="28" spans="2:5" x14ac:dyDescent="0.4">
      <c r="B28" s="8" t="s">
        <v>8</v>
      </c>
      <c r="C28" s="9">
        <f>C25/C21</f>
        <v>10739.88652383348</v>
      </c>
      <c r="D28" s="5" t="s">
        <v>13</v>
      </c>
      <c r="E28" s="2"/>
    </row>
    <row r="29" spans="2:5" x14ac:dyDescent="0.4">
      <c r="C2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고정OT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차상미</dc:creator>
  <cp:lastModifiedBy>차상미</cp:lastModifiedBy>
  <dcterms:created xsi:type="dcterms:W3CDTF">2025-11-04T09:23:12Z</dcterms:created>
  <dcterms:modified xsi:type="dcterms:W3CDTF">2025-11-20T11:52:03Z</dcterms:modified>
</cp:coreProperties>
</file>